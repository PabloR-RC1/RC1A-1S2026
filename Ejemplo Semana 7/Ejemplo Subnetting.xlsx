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dri\OneDrive\U\SEMESTRE 9\Auxiliatura\1S2026\RC1A-1S2026\Ejemplo Semana 7\"/>
    </mc:Choice>
  </mc:AlternateContent>
  <xr:revisionPtr revIDLastSave="0" documentId="13_ncr:1_{AD8284F0-B596-4CC2-AD31-1D1BE598A348}" xr6:coauthVersionLast="47" xr6:coauthVersionMax="47" xr10:uidLastSave="{00000000-0000-0000-0000-000000000000}"/>
  <bookViews>
    <workbookView xWindow="-120" yWindow="-120" windowWidth="29040" windowHeight="15720" xr2:uid="{9B7B79E8-5BD9-46D0-9C5D-646805FA832C}"/>
  </bookViews>
  <sheets>
    <sheet name="VLS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4" i="1"/>
  <c r="D22" i="1"/>
  <c r="L16" i="1"/>
  <c r="F12" i="1"/>
  <c r="J19" i="1"/>
</calcChain>
</file>

<file path=xl/sharedStrings.xml><?xml version="1.0" encoding="utf-8"?>
<sst xmlns="http://schemas.openxmlformats.org/spreadsheetml/2006/main" count="57" uniqueCount="53">
  <si>
    <t>ID de Red</t>
  </si>
  <si>
    <t xml:space="preserve">Máscara de 
Subred </t>
  </si>
  <si>
    <t>Primer Host 
Disponible</t>
  </si>
  <si>
    <t>Último Host 
Disponible</t>
  </si>
  <si>
    <t>Dirección de 
broadcast</t>
  </si>
  <si>
    <t>255.255.255.192</t>
  </si>
  <si>
    <t>Tabla 2^n</t>
  </si>
  <si>
    <t xml:space="preserve">Formula </t>
  </si>
  <si>
    <t>TI (120 hosts)</t>
  </si>
  <si>
    <t>Ventas (118 hosts)</t>
  </si>
  <si>
    <t>Finanzas (92 hosts)</t>
  </si>
  <si>
    <t>Área</t>
  </si>
  <si>
    <t>Wildcard</t>
  </si>
  <si>
    <t>Número de Host 
utilizables</t>
  </si>
  <si>
    <t xml:space="preserve">Número de host 
utlizados </t>
  </si>
  <si>
    <t>Número de Host 
Desperdiciados</t>
  </si>
  <si>
    <t>TI</t>
  </si>
  <si>
    <t>172.16.0.0</t>
  </si>
  <si>
    <t>255.255.255.128</t>
  </si>
  <si>
    <t>0.0.0.127</t>
  </si>
  <si>
    <t>172.16.0.1</t>
  </si>
  <si>
    <t>172.16.0.126</t>
  </si>
  <si>
    <t>172.16.0.127</t>
  </si>
  <si>
    <t>Ventas</t>
  </si>
  <si>
    <t>172.16.0.128</t>
  </si>
  <si>
    <t>172.16.0.129</t>
  </si>
  <si>
    <t>172.16.0.254</t>
  </si>
  <si>
    <t>172.16.0.255</t>
  </si>
  <si>
    <t>Finanzas</t>
  </si>
  <si>
    <t>172.16.1.0</t>
  </si>
  <si>
    <t>172.16.1.1</t>
  </si>
  <si>
    <t>172.16.1.126</t>
  </si>
  <si>
    <t>172.16.1.127</t>
  </si>
  <si>
    <t>172.16.1.128</t>
  </si>
  <si>
    <t>172.16.1.129</t>
  </si>
  <si>
    <t>Red Base</t>
  </si>
  <si>
    <t>172.16.0.0/20</t>
  </si>
  <si>
    <t>Nueva máscara</t>
  </si>
  <si>
    <t>=</t>
  </si>
  <si>
    <t>Host =</t>
  </si>
  <si>
    <t>n =</t>
  </si>
  <si>
    <t>Primeros</t>
  </si>
  <si>
    <t>bits Son 1 los demas 0</t>
  </si>
  <si>
    <t xml:space="preserve">2^n = </t>
  </si>
  <si>
    <t>Salto de Red =</t>
  </si>
  <si>
    <t>256 - Último octeto</t>
  </si>
  <si>
    <t>RRHH</t>
  </si>
  <si>
    <t>RRHH(40 hosts)</t>
  </si>
  <si>
    <t>11000000</t>
  </si>
  <si>
    <t>0.0.0.63</t>
  </si>
  <si>
    <t>172.16.1.192</t>
  </si>
  <si>
    <t>172.16.1.191</t>
  </si>
  <si>
    <t>172.16.1.190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</si>
</sst>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1" applyBorder="1" applyAlignment="1">
      <alignment horizontal="center"/>
    </xf>
    <xf numFmtId="0" fontId="3" fillId="2" borderId="1" xfId="1" applyFont="1" applyBorder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horizontal="center" vertical="center" wrapText="1"/>
    </xf>
    <xf numFmtId="0" fontId="3" fillId="0" borderId="0" xfId="1" applyFont="1" applyFill="1" applyBorder="1" applyAlignment="1">
      <alignment horizontal="center"/>
    </xf>
    <xf numFmtId="0" fontId="1" fillId="0" borderId="0" xfId="1" applyFill="1" applyBorder="1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723900</xdr:colOff>
      <xdr:row>8</xdr:row>
      <xdr:rowOff>142875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71768F7-3AEF-C075-3183-748724524B44}"/>
            </a:ext>
          </a:extLst>
        </xdr:cNvPr>
        <xdr:cNvSpPr txBox="1"/>
      </xdr:nvSpPr>
      <xdr:spPr>
        <a:xfrm>
          <a:off x="5819775" y="1285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GT" sz="1100"/>
        </a:p>
      </xdr:txBody>
    </xdr:sp>
    <xdr:clientData/>
  </xdr:oneCellAnchor>
  <xdr:oneCellAnchor>
    <xdr:from>
      <xdr:col>3</xdr:col>
      <xdr:colOff>76200</xdr:colOff>
      <xdr:row>11</xdr:row>
      <xdr:rowOff>28575</xdr:rowOff>
    </xdr:from>
    <xdr:ext cx="94416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344578-684E-066A-FC36-0697C201759A}"/>
                </a:ext>
              </a:extLst>
            </xdr:cNvPr>
            <xdr:cNvSpPr txBox="1"/>
          </xdr:nvSpPr>
          <xdr:spPr>
            <a:xfrm>
              <a:off x="2809875" y="2505075"/>
              <a:ext cx="9441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GT" sz="11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GT" sz="11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s-MX" sz="1100" b="1" i="1">
                            <a:latin typeface="Cambria Math" panose="02040503050406030204" pitchFamily="18" charset="0"/>
                          </a:rPr>
                          <m:t>𝒏</m:t>
                        </m:r>
                      </m:sup>
                    </m:sSup>
                    <m:r>
                      <a:rPr lang="es-GT" sz="1100" b="1" i="1">
                        <a:latin typeface="Cambria Math" panose="02040503050406030204" pitchFamily="18" charset="0"/>
                      </a:rPr>
                      <m:t> −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s-MX" sz="1100" b="1" i="1">
                        <a:latin typeface="Cambria Math" panose="02040503050406030204" pitchFamily="18" charset="0"/>
                      </a:rPr>
                      <m:t>≥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GT" sz="1100" b="1" i="1">
                        <a:latin typeface="Cambria Math" panose="02040503050406030204" pitchFamily="18" charset="0"/>
                      </a:rPr>
                      <m:t>𝑯𝒐𝒔𝒕</m:t>
                    </m:r>
                  </m:oMath>
                </m:oMathPara>
              </a14:m>
              <a:endParaRPr lang="es-GT" sz="1100" b="1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344578-684E-066A-FC36-0697C201759A}"/>
                </a:ext>
              </a:extLst>
            </xdr:cNvPr>
            <xdr:cNvSpPr txBox="1"/>
          </xdr:nvSpPr>
          <xdr:spPr>
            <a:xfrm>
              <a:off x="2809875" y="2505075"/>
              <a:ext cx="94416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GT" sz="1100" b="1" i="0">
                  <a:latin typeface="Cambria Math" panose="02040503050406030204" pitchFamily="18" charset="0"/>
                </a:rPr>
                <a:t>𝟐^</a:t>
              </a:r>
              <a:r>
                <a:rPr lang="es-MX" sz="1100" b="1" i="0">
                  <a:latin typeface="Cambria Math" panose="02040503050406030204" pitchFamily="18" charset="0"/>
                </a:rPr>
                <a:t>𝒏</a:t>
              </a:r>
              <a:r>
                <a:rPr lang="es-GT" sz="1100" b="1" i="0">
                  <a:latin typeface="Cambria Math" panose="02040503050406030204" pitchFamily="18" charset="0"/>
                </a:rPr>
                <a:t>  - 𝟐</a:t>
              </a:r>
              <a:r>
                <a:rPr lang="es-MX" sz="1100" b="1" i="0">
                  <a:latin typeface="Cambria Math" panose="02040503050406030204" pitchFamily="18" charset="0"/>
                </a:rPr>
                <a:t>≥ </a:t>
              </a:r>
              <a:r>
                <a:rPr lang="es-GT" sz="1100" b="1" i="0">
                  <a:latin typeface="Cambria Math" panose="02040503050406030204" pitchFamily="18" charset="0"/>
                </a:rPr>
                <a:t> 𝑯𝒐𝒔𝒕</a:t>
              </a:r>
              <a:endParaRPr lang="es-GT" sz="11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6FCF-6B2D-4121-9929-DA74CF26BC04}">
  <dimension ref="A3:V25"/>
  <sheetViews>
    <sheetView tabSelected="1" topLeftCell="E1" workbookViewId="0">
      <selection activeCell="L15" sqref="L15"/>
    </sheetView>
  </sheetViews>
  <sheetFormatPr baseColWidth="10" defaultRowHeight="15" x14ac:dyDescent="0.25"/>
  <cols>
    <col min="1" max="1" width="18.28515625" bestFit="1" customWidth="1"/>
    <col min="2" max="2" width="7.28515625" customWidth="1"/>
    <col min="3" max="3" width="15.42578125" customWidth="1"/>
    <col min="4" max="4" width="18.7109375" customWidth="1"/>
    <col min="5" max="5" width="14.7109375" bestFit="1" customWidth="1"/>
    <col min="6" max="8" width="13.7109375" bestFit="1" customWidth="1"/>
    <col min="9" max="9" width="18.85546875" customWidth="1"/>
    <col min="12" max="12" width="17.5703125" customWidth="1"/>
    <col min="15" max="15" width="9.7109375" bestFit="1" customWidth="1"/>
    <col min="16" max="16" width="9.42578125" customWidth="1"/>
    <col min="17" max="17" width="7.28515625" customWidth="1"/>
    <col min="18" max="18" width="9.5703125" customWidth="1"/>
    <col min="19" max="19" width="8.85546875" customWidth="1"/>
    <col min="20" max="20" width="10.42578125" customWidth="1"/>
    <col min="21" max="21" width="9.140625" customWidth="1"/>
    <col min="22" max="22" width="6.28515625" customWidth="1"/>
  </cols>
  <sheetData>
    <row r="3" spans="1:22" ht="45" x14ac:dyDescent="0.25">
      <c r="C3" s="3" t="s">
        <v>11</v>
      </c>
      <c r="D3" s="1" t="s">
        <v>0</v>
      </c>
      <c r="E3" s="2" t="s">
        <v>1</v>
      </c>
      <c r="F3" s="1" t="s">
        <v>12</v>
      </c>
      <c r="G3" s="2" t="s">
        <v>2</v>
      </c>
      <c r="H3" s="2" t="s">
        <v>3</v>
      </c>
      <c r="I3" s="2" t="s">
        <v>4</v>
      </c>
      <c r="J3" s="2" t="s">
        <v>13</v>
      </c>
      <c r="K3" s="2" t="s">
        <v>14</v>
      </c>
      <c r="L3" s="2" t="s">
        <v>15</v>
      </c>
    </row>
    <row r="4" spans="1:22" x14ac:dyDescent="0.25">
      <c r="A4" t="s">
        <v>8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>
        <v>126</v>
      </c>
      <c r="K4" s="3">
        <v>120</v>
      </c>
      <c r="L4" s="3">
        <f>J4-K4</f>
        <v>6</v>
      </c>
    </row>
    <row r="5" spans="1:22" x14ac:dyDescent="0.25">
      <c r="A5" t="s">
        <v>9</v>
      </c>
      <c r="C5" s="3" t="s">
        <v>23</v>
      </c>
      <c r="D5" s="3" t="s">
        <v>24</v>
      </c>
      <c r="E5" s="3" t="s">
        <v>18</v>
      </c>
      <c r="F5" s="3" t="s">
        <v>19</v>
      </c>
      <c r="G5" s="3" t="s">
        <v>25</v>
      </c>
      <c r="H5" s="3" t="s">
        <v>26</v>
      </c>
      <c r="I5" s="3" t="s">
        <v>27</v>
      </c>
      <c r="J5" s="3">
        <v>126</v>
      </c>
      <c r="K5" s="3">
        <v>118</v>
      </c>
      <c r="L5" s="3">
        <f>J5-K5</f>
        <v>8</v>
      </c>
    </row>
    <row r="6" spans="1:22" x14ac:dyDescent="0.25">
      <c r="A6" t="s">
        <v>10</v>
      </c>
      <c r="C6" s="3" t="s">
        <v>28</v>
      </c>
      <c r="D6" s="3" t="s">
        <v>29</v>
      </c>
      <c r="E6" s="3" t="s">
        <v>18</v>
      </c>
      <c r="F6" s="3" t="s">
        <v>19</v>
      </c>
      <c r="G6" s="3" t="s">
        <v>30</v>
      </c>
      <c r="H6" s="3" t="s">
        <v>31</v>
      </c>
      <c r="I6" s="3" t="s">
        <v>32</v>
      </c>
      <c r="J6" s="3">
        <v>126</v>
      </c>
      <c r="K6" s="3">
        <v>92</v>
      </c>
      <c r="L6" s="3">
        <f t="shared" ref="L6:L7" si="0">J6-K6</f>
        <v>34</v>
      </c>
    </row>
    <row r="7" spans="1:22" x14ac:dyDescent="0.25">
      <c r="A7" t="s">
        <v>47</v>
      </c>
      <c r="C7" s="3" t="s">
        <v>46</v>
      </c>
      <c r="D7" s="3" t="s">
        <v>33</v>
      </c>
      <c r="E7" s="3" t="s">
        <v>5</v>
      </c>
      <c r="F7" s="3" t="s">
        <v>49</v>
      </c>
      <c r="G7" s="3" t="s">
        <v>34</v>
      </c>
      <c r="H7" s="3" t="s">
        <v>52</v>
      </c>
      <c r="I7" s="3" t="s">
        <v>51</v>
      </c>
      <c r="J7" s="3">
        <v>62</v>
      </c>
      <c r="K7" s="3">
        <v>40</v>
      </c>
      <c r="L7" s="3">
        <f t="shared" si="0"/>
        <v>22</v>
      </c>
    </row>
    <row r="8" spans="1:22" x14ac:dyDescent="0.25">
      <c r="D8" s="6" t="s">
        <v>50</v>
      </c>
      <c r="O8" s="6"/>
    </row>
    <row r="9" spans="1:22" x14ac:dyDescent="0.25">
      <c r="D9" s="6"/>
      <c r="O9" s="9"/>
      <c r="P9" s="9"/>
      <c r="Q9" s="9"/>
      <c r="R9" s="9"/>
      <c r="S9" s="9"/>
      <c r="T9" s="9"/>
      <c r="U9" s="9"/>
      <c r="V9" s="9"/>
    </row>
    <row r="10" spans="1:22" x14ac:dyDescent="0.25">
      <c r="D10" s="6"/>
      <c r="O10" s="10"/>
      <c r="P10" s="10"/>
      <c r="Q10" s="10"/>
      <c r="R10" s="10"/>
      <c r="S10" s="10"/>
      <c r="T10" s="10"/>
      <c r="U10" s="10"/>
      <c r="V10" s="10"/>
    </row>
    <row r="12" spans="1:22" x14ac:dyDescent="0.25">
      <c r="C12" s="6" t="s">
        <v>7</v>
      </c>
      <c r="D12" s="7"/>
      <c r="E12" s="12" t="s">
        <v>38</v>
      </c>
      <c r="F12">
        <f>POWER(2,L15)-2</f>
        <v>62</v>
      </c>
    </row>
    <row r="14" spans="1:22" x14ac:dyDescent="0.25">
      <c r="C14" s="6" t="s">
        <v>6</v>
      </c>
      <c r="K14" s="13" t="s">
        <v>39</v>
      </c>
      <c r="L14">
        <v>120</v>
      </c>
    </row>
    <row r="15" spans="1:22" x14ac:dyDescent="0.25">
      <c r="C15" s="5">
        <v>8</v>
      </c>
      <c r="D15" s="5">
        <v>7</v>
      </c>
      <c r="E15" s="5">
        <v>6</v>
      </c>
      <c r="F15" s="5">
        <v>5</v>
      </c>
      <c r="G15" s="5">
        <v>4</v>
      </c>
      <c r="H15" s="5">
        <v>3</v>
      </c>
      <c r="I15" s="5">
        <v>2</v>
      </c>
      <c r="J15" s="5">
        <v>1</v>
      </c>
      <c r="K15" s="14" t="s">
        <v>40</v>
      </c>
      <c r="L15" s="14">
        <v>6</v>
      </c>
      <c r="M15" s="8"/>
      <c r="N15" s="8"/>
      <c r="O15" s="8"/>
      <c r="P15" s="8"/>
    </row>
    <row r="16" spans="1:22" x14ac:dyDescent="0.25">
      <c r="C16" s="4">
        <v>256</v>
      </c>
      <c r="D16" s="4">
        <v>128</v>
      </c>
      <c r="E16" s="4">
        <v>64</v>
      </c>
      <c r="F16" s="4">
        <v>32</v>
      </c>
      <c r="G16" s="4">
        <v>16</v>
      </c>
      <c r="H16" s="4">
        <v>8</v>
      </c>
      <c r="I16" s="4">
        <v>4</v>
      </c>
      <c r="J16" s="4">
        <v>2</v>
      </c>
      <c r="K16" s="13" t="s">
        <v>43</v>
      </c>
      <c r="L16">
        <f>POWER(2,L15)</f>
        <v>64</v>
      </c>
    </row>
    <row r="19" spans="3:10" x14ac:dyDescent="0.25">
      <c r="C19" s="15" t="s">
        <v>35</v>
      </c>
      <c r="D19" s="3" t="s">
        <v>36</v>
      </c>
      <c r="H19" s="15" t="s">
        <v>44</v>
      </c>
      <c r="I19" s="16" t="s">
        <v>45</v>
      </c>
      <c r="J19">
        <f>256-F25</f>
        <v>64</v>
      </c>
    </row>
    <row r="21" spans="3:10" x14ac:dyDescent="0.25">
      <c r="C21" s="6" t="s">
        <v>37</v>
      </c>
      <c r="G21" s="11"/>
    </row>
    <row r="22" spans="3:10" x14ac:dyDescent="0.25">
      <c r="C22" t="s">
        <v>41</v>
      </c>
      <c r="D22" s="12">
        <f>32-L15</f>
        <v>26</v>
      </c>
      <c r="E22" s="17" t="s">
        <v>42</v>
      </c>
      <c r="F22" s="17"/>
      <c r="G22" s="17"/>
    </row>
    <row r="24" spans="3:10" x14ac:dyDescent="0.25">
      <c r="C24">
        <v>11111111</v>
      </c>
      <c r="D24">
        <v>11111111</v>
      </c>
      <c r="E24">
        <v>11111111</v>
      </c>
      <c r="F24" s="11" t="s">
        <v>48</v>
      </c>
    </row>
    <row r="25" spans="3:10" x14ac:dyDescent="0.25">
      <c r="C25">
        <v>255</v>
      </c>
      <c r="D25">
        <v>255</v>
      </c>
      <c r="E25">
        <v>255</v>
      </c>
      <c r="F25">
        <v>192</v>
      </c>
    </row>
  </sheetData>
  <mergeCells count="1">
    <mergeCell ref="E22:G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VLSM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Josseline Mont</dc:creator>
  <cp:lastModifiedBy>Pablo Rodríguez Lima</cp:lastModifiedBy>
  <dcterms:created xsi:type="dcterms:W3CDTF">2026-03-06T22:12:07Z</dcterms:created>
  <dcterms:modified xsi:type="dcterms:W3CDTF">2026-03-07T03:09:39Z</dcterms:modified>
</cp:coreProperties>
</file>